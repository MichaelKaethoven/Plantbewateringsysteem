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ocuments\School\GRAD_IOT\Embed_sys_2\Plantbewateringsysteem\Documentatie\technisch\"/>
    </mc:Choice>
  </mc:AlternateContent>
  <xr:revisionPtr revIDLastSave="0" documentId="13_ncr:1_{E1010A3C-DAA2-40D1-916A-0FCD9D1604EE}" xr6:coauthVersionLast="47" xr6:coauthVersionMax="47" xr10:uidLastSave="{00000000-0000-0000-0000-000000000000}"/>
  <bookViews>
    <workbookView xWindow="-108" yWindow="-108" windowWidth="23256" windowHeight="12456" activeTab="1" xr2:uid="{CC6E130E-4F73-495C-BBF0-7183E2CD66F8}"/>
  </bookViews>
  <sheets>
    <sheet name="RESISTIVE" sheetId="1" r:id="rId1"/>
    <sheet name="CAPACITIV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" l="1"/>
  <c r="D44" i="1"/>
  <c r="D41" i="1"/>
  <c r="D40" i="1"/>
  <c r="D39" i="1"/>
  <c r="C44" i="1"/>
  <c r="C43" i="1"/>
  <c r="C41" i="1"/>
  <c r="C40" i="1"/>
  <c r="C39" i="1"/>
  <c r="B44" i="1"/>
  <c r="B43" i="1"/>
  <c r="B41" i="1"/>
  <c r="B40" i="1"/>
  <c r="B39" i="1"/>
  <c r="D38" i="2"/>
  <c r="D37" i="2"/>
  <c r="D35" i="2"/>
  <c r="D34" i="2"/>
  <c r="C37" i="2"/>
  <c r="C38" i="2"/>
  <c r="C35" i="2"/>
  <c r="C33" i="2"/>
  <c r="C34" i="2"/>
  <c r="D33" i="2"/>
  <c r="B38" i="2"/>
  <c r="B37" i="2"/>
  <c r="B35" i="2"/>
  <c r="B34" i="2"/>
  <c r="B33" i="2"/>
  <c r="C37" i="1"/>
  <c r="D37" i="1"/>
  <c r="E37" i="1"/>
  <c r="D36" i="1"/>
  <c r="B37" i="1"/>
  <c r="C35" i="1"/>
  <c r="C36" i="1" s="1"/>
  <c r="D35" i="1"/>
  <c r="E35" i="1"/>
  <c r="E36" i="1" s="1"/>
  <c r="B35" i="1"/>
  <c r="B36" i="1" s="1"/>
  <c r="E31" i="2"/>
  <c r="C31" i="2"/>
  <c r="D31" i="2"/>
  <c r="C30" i="2"/>
  <c r="D30" i="2"/>
  <c r="E30" i="2"/>
  <c r="B31" i="2"/>
  <c r="B30" i="2"/>
</calcChain>
</file>

<file path=xl/sharedStrings.xml><?xml version="1.0" encoding="utf-8"?>
<sst xmlns="http://schemas.openxmlformats.org/spreadsheetml/2006/main" count="33" uniqueCount="14">
  <si>
    <t>DROOG</t>
  </si>
  <si>
    <t>VOCHTIG</t>
  </si>
  <si>
    <t>NAT</t>
  </si>
  <si>
    <t>VERWACHT BEREIK</t>
  </si>
  <si>
    <t>Effectief bereik</t>
  </si>
  <si>
    <t>WATER</t>
  </si>
  <si>
    <t>MIN</t>
  </si>
  <si>
    <t>MAX</t>
  </si>
  <si>
    <t>AVG</t>
  </si>
  <si>
    <t>Aanpassing</t>
  </si>
  <si>
    <t>MIN=</t>
  </si>
  <si>
    <t>EFFECTIEF BEREIK MAX</t>
  </si>
  <si>
    <t>EFFECTIEF BEREIK MIN</t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</si>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</sst>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Verwacht</a:t>
            </a:r>
            <a:r>
              <a:rPr lang="nl-BE" baseline="0"/>
              <a:t> bereik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>
        <c:manualLayout>
          <c:layoutTarget val="inner"/>
          <c:xMode val="edge"/>
          <c:yMode val="edge"/>
          <c:x val="7.9136482939632546E-2"/>
          <c:y val="0.15782407407407409"/>
          <c:w val="0.89030796150481195"/>
          <c:h val="0.6153546952464275"/>
        </c:manualLayout>
      </c:layout>
      <c:lineChart>
        <c:grouping val="standard"/>
        <c:varyColors val="0"/>
        <c:ser>
          <c:idx val="0"/>
          <c:order val="0"/>
          <c:tx>
            <c:strRef>
              <c:f>RESISTIVE!$B$4</c:f>
              <c:strCache>
                <c:ptCount val="1"/>
                <c:pt idx="0">
                  <c:v>DROOG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RESISTIVE!$C$4:$D$4</c:f>
              <c:numCache>
                <c:formatCode>General</c:formatCode>
                <c:ptCount val="2"/>
                <c:pt idx="0">
                  <c:v>0</c:v>
                </c:pt>
                <c:pt idx="1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B7-460E-9F41-F52E4D26EF0E}"/>
            </c:ext>
          </c:extLst>
        </c:ser>
        <c:ser>
          <c:idx val="1"/>
          <c:order val="1"/>
          <c:tx>
            <c:strRef>
              <c:f>RESISTIVE!$B$5</c:f>
              <c:strCache>
                <c:ptCount val="1"/>
                <c:pt idx="0">
                  <c:v>VOCHTIG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RESISTIVE!$C$5:$D$5</c:f>
              <c:numCache>
                <c:formatCode>General</c:formatCode>
                <c:ptCount val="2"/>
                <c:pt idx="0">
                  <c:v>301</c:v>
                </c:pt>
                <c:pt idx="1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B7-460E-9F41-F52E4D26EF0E}"/>
            </c:ext>
          </c:extLst>
        </c:ser>
        <c:ser>
          <c:idx val="2"/>
          <c:order val="2"/>
          <c:tx>
            <c:strRef>
              <c:f>RESISTIVE!$B$6</c:f>
              <c:strCache>
                <c:ptCount val="1"/>
                <c:pt idx="0">
                  <c:v>NAT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RESISTIVE!$C$6:$D$6</c:f>
              <c:numCache>
                <c:formatCode>General</c:formatCode>
                <c:ptCount val="2"/>
                <c:pt idx="0">
                  <c:v>701</c:v>
                </c:pt>
                <c:pt idx="1">
                  <c:v>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B7-460E-9F41-F52E4D26E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24960"/>
        <c:axId val="5825440"/>
      </c:lineChart>
      <c:catAx>
        <c:axId val="582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5825440"/>
        <c:crosses val="autoZero"/>
        <c:auto val="1"/>
        <c:lblAlgn val="ctr"/>
        <c:lblOffset val="100"/>
        <c:noMultiLvlLbl val="0"/>
      </c:catAx>
      <c:valAx>
        <c:axId val="582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582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EFFECTIEF BEREIK</a:t>
            </a:r>
            <a:r>
              <a:rPr lang="nl-BE" baseline="0"/>
              <a:t> - RESISTIVE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RESISTIVE!$B$21</c:f>
              <c:strCache>
                <c:ptCount val="1"/>
                <c:pt idx="0">
                  <c:v>DROOG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RESISTIVE!$B$22:$B$34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14-48DE-B460-B9B450414454}"/>
            </c:ext>
          </c:extLst>
        </c:ser>
        <c:ser>
          <c:idx val="1"/>
          <c:order val="1"/>
          <c:tx>
            <c:strRef>
              <c:f>RESISTIVE!$C$21</c:f>
              <c:strCache>
                <c:ptCount val="1"/>
                <c:pt idx="0">
                  <c:v>VOCHTIG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RESISTIVE!$C$22:$C$34</c:f>
              <c:numCache>
                <c:formatCode>General</c:formatCode>
                <c:ptCount val="13"/>
                <c:pt idx="0">
                  <c:v>700</c:v>
                </c:pt>
                <c:pt idx="1">
                  <c:v>1167</c:v>
                </c:pt>
                <c:pt idx="2">
                  <c:v>853</c:v>
                </c:pt>
                <c:pt idx="3">
                  <c:v>1166</c:v>
                </c:pt>
                <c:pt idx="4">
                  <c:v>840</c:v>
                </c:pt>
                <c:pt idx="5">
                  <c:v>1430</c:v>
                </c:pt>
                <c:pt idx="6">
                  <c:v>1251</c:v>
                </c:pt>
                <c:pt idx="7">
                  <c:v>344</c:v>
                </c:pt>
                <c:pt idx="8">
                  <c:v>658</c:v>
                </c:pt>
                <c:pt idx="9">
                  <c:v>303</c:v>
                </c:pt>
                <c:pt idx="10">
                  <c:v>336</c:v>
                </c:pt>
                <c:pt idx="11">
                  <c:v>416</c:v>
                </c:pt>
                <c:pt idx="12">
                  <c:v>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14-48DE-B460-B9B450414454}"/>
            </c:ext>
          </c:extLst>
        </c:ser>
        <c:ser>
          <c:idx val="2"/>
          <c:order val="2"/>
          <c:tx>
            <c:strRef>
              <c:f>RESISTIVE!$D$21</c:f>
              <c:strCache>
                <c:ptCount val="1"/>
                <c:pt idx="0">
                  <c:v>NAT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RESISTIVE!$D$22:$D$34</c:f>
              <c:numCache>
                <c:formatCode>General</c:formatCode>
                <c:ptCount val="13"/>
                <c:pt idx="0">
                  <c:v>1555</c:v>
                </c:pt>
                <c:pt idx="1">
                  <c:v>1520</c:v>
                </c:pt>
                <c:pt idx="2">
                  <c:v>1584</c:v>
                </c:pt>
                <c:pt idx="3">
                  <c:v>1663</c:v>
                </c:pt>
                <c:pt idx="4">
                  <c:v>1645</c:v>
                </c:pt>
                <c:pt idx="5">
                  <c:v>1611</c:v>
                </c:pt>
                <c:pt idx="6">
                  <c:v>1765</c:v>
                </c:pt>
                <c:pt idx="7">
                  <c:v>1713</c:v>
                </c:pt>
                <c:pt idx="8">
                  <c:v>1795</c:v>
                </c:pt>
                <c:pt idx="9">
                  <c:v>1920</c:v>
                </c:pt>
                <c:pt idx="10">
                  <c:v>2097</c:v>
                </c:pt>
                <c:pt idx="11">
                  <c:v>2068</c:v>
                </c:pt>
                <c:pt idx="12">
                  <c:v>2135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14-48DE-B460-B9B450414454}"/>
            </c:ext>
          </c:extLst>
        </c:ser>
        <c:ser>
          <c:idx val="3"/>
          <c:order val="3"/>
          <c:tx>
            <c:strRef>
              <c:f>RESISTIVE!$E$21</c:f>
              <c:strCache>
                <c:ptCount val="1"/>
                <c:pt idx="0">
                  <c:v>WATER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RESISTIVE!$E$22:$E$34</c:f>
              <c:numCache>
                <c:formatCode>General</c:formatCode>
                <c:ptCount val="13"/>
                <c:pt idx="0">
                  <c:v>2606</c:v>
                </c:pt>
                <c:pt idx="1">
                  <c:v>2604</c:v>
                </c:pt>
                <c:pt idx="2">
                  <c:v>2630</c:v>
                </c:pt>
                <c:pt idx="3">
                  <c:v>2583</c:v>
                </c:pt>
                <c:pt idx="4">
                  <c:v>2599</c:v>
                </c:pt>
                <c:pt idx="5">
                  <c:v>2613</c:v>
                </c:pt>
                <c:pt idx="6">
                  <c:v>2556</c:v>
                </c:pt>
                <c:pt idx="7">
                  <c:v>2607</c:v>
                </c:pt>
                <c:pt idx="8">
                  <c:v>2541</c:v>
                </c:pt>
                <c:pt idx="9">
                  <c:v>2416</c:v>
                </c:pt>
                <c:pt idx="10">
                  <c:v>2404</c:v>
                </c:pt>
                <c:pt idx="11">
                  <c:v>2368</c:v>
                </c:pt>
                <c:pt idx="12">
                  <c:v>2437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14-48DE-B460-B9B450414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5327280"/>
        <c:axId val="515327760"/>
      </c:lineChart>
      <c:catAx>
        <c:axId val="515327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515327760"/>
        <c:crosses val="autoZero"/>
        <c:auto val="1"/>
        <c:lblAlgn val="ctr"/>
        <c:lblOffset val="100"/>
        <c:noMultiLvlLbl val="0"/>
      </c:catAx>
      <c:valAx>
        <c:axId val="51532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51532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Verwacht</a:t>
            </a:r>
            <a:r>
              <a:rPr lang="nl-BE" baseline="0"/>
              <a:t> bereik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>
        <c:manualLayout>
          <c:layoutTarget val="inner"/>
          <c:xMode val="edge"/>
          <c:yMode val="edge"/>
          <c:x val="7.9136482939632546E-2"/>
          <c:y val="0.15782407407407409"/>
          <c:w val="0.89030796150481195"/>
          <c:h val="0.6153546952464275"/>
        </c:manualLayout>
      </c:layout>
      <c:lineChart>
        <c:grouping val="standard"/>
        <c:varyColors val="0"/>
        <c:ser>
          <c:idx val="0"/>
          <c:order val="0"/>
          <c:tx>
            <c:strRef>
              <c:f>RESISTIVE!$B$4</c:f>
              <c:strCache>
                <c:ptCount val="1"/>
                <c:pt idx="0">
                  <c:v>DROOG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RESISTIVE!$C$4:$D$4</c:f>
              <c:numCache>
                <c:formatCode>General</c:formatCode>
                <c:ptCount val="2"/>
                <c:pt idx="0">
                  <c:v>0</c:v>
                </c:pt>
                <c:pt idx="1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48-4B12-979B-018DBBD7C4E5}"/>
            </c:ext>
          </c:extLst>
        </c:ser>
        <c:ser>
          <c:idx val="1"/>
          <c:order val="1"/>
          <c:tx>
            <c:strRef>
              <c:f>RESISTIVE!$B$5</c:f>
              <c:strCache>
                <c:ptCount val="1"/>
                <c:pt idx="0">
                  <c:v>VOCHTIG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RESISTIVE!$C$5:$D$5</c:f>
              <c:numCache>
                <c:formatCode>General</c:formatCode>
                <c:ptCount val="2"/>
                <c:pt idx="0">
                  <c:v>301</c:v>
                </c:pt>
                <c:pt idx="1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48-4B12-979B-018DBBD7C4E5}"/>
            </c:ext>
          </c:extLst>
        </c:ser>
        <c:ser>
          <c:idx val="2"/>
          <c:order val="2"/>
          <c:tx>
            <c:strRef>
              <c:f>RESISTIVE!$B$6</c:f>
              <c:strCache>
                <c:ptCount val="1"/>
                <c:pt idx="0">
                  <c:v>NAT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RESISTIVE!$C$6:$D$6</c:f>
              <c:numCache>
                <c:formatCode>General</c:formatCode>
                <c:ptCount val="2"/>
                <c:pt idx="0">
                  <c:v>701</c:v>
                </c:pt>
                <c:pt idx="1">
                  <c:v>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48-4B12-979B-018DBBD7C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24960"/>
        <c:axId val="5825440"/>
      </c:lineChart>
      <c:catAx>
        <c:axId val="582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5825440"/>
        <c:crosses val="autoZero"/>
        <c:auto val="1"/>
        <c:lblAlgn val="ctr"/>
        <c:lblOffset val="100"/>
        <c:noMultiLvlLbl val="0"/>
      </c:catAx>
      <c:valAx>
        <c:axId val="582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582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EFFECTIEF BEREIK - CAPACITIVE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CAPACITIVE!$B$21</c:f>
              <c:strCache>
                <c:ptCount val="1"/>
                <c:pt idx="0">
                  <c:v>DROOG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CAPACITIVE!$B$22:$B$29</c:f>
              <c:numCache>
                <c:formatCode>General</c:formatCode>
                <c:ptCount val="8"/>
                <c:pt idx="0">
                  <c:v>2939</c:v>
                </c:pt>
                <c:pt idx="1">
                  <c:v>2941</c:v>
                </c:pt>
                <c:pt idx="2">
                  <c:v>2945</c:v>
                </c:pt>
                <c:pt idx="3">
                  <c:v>2942</c:v>
                </c:pt>
                <c:pt idx="4">
                  <c:v>2945</c:v>
                </c:pt>
                <c:pt idx="5">
                  <c:v>2938</c:v>
                </c:pt>
                <c:pt idx="6">
                  <c:v>2945</c:v>
                </c:pt>
                <c:pt idx="7">
                  <c:v>2947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18-43B6-9ACC-1AE7C8D026E0}"/>
            </c:ext>
          </c:extLst>
        </c:ser>
        <c:ser>
          <c:idx val="1"/>
          <c:order val="1"/>
          <c:tx>
            <c:strRef>
              <c:f>CAPACITIVE!$C$21</c:f>
              <c:strCache>
                <c:ptCount val="1"/>
                <c:pt idx="0">
                  <c:v>VOCHTIG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CAPACITIVE!$C$22:$C$29</c:f>
              <c:numCache>
                <c:formatCode>General</c:formatCode>
                <c:ptCount val="8"/>
                <c:pt idx="0">
                  <c:v>2437</c:v>
                </c:pt>
                <c:pt idx="1">
                  <c:v>2433</c:v>
                </c:pt>
                <c:pt idx="2">
                  <c:v>2419</c:v>
                </c:pt>
                <c:pt idx="3">
                  <c:v>2533</c:v>
                </c:pt>
                <c:pt idx="4">
                  <c:v>2672</c:v>
                </c:pt>
                <c:pt idx="5">
                  <c:v>2549</c:v>
                </c:pt>
                <c:pt idx="6">
                  <c:v>2707</c:v>
                </c:pt>
                <c:pt idx="7">
                  <c:v>2704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18-43B6-9ACC-1AE7C8D026E0}"/>
            </c:ext>
          </c:extLst>
        </c:ser>
        <c:ser>
          <c:idx val="2"/>
          <c:order val="2"/>
          <c:tx>
            <c:strRef>
              <c:f>CAPACITIVE!$D$21</c:f>
              <c:strCache>
                <c:ptCount val="1"/>
                <c:pt idx="0">
                  <c:v>NAT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CAPACITIVE!$D$22:$D$29</c:f>
              <c:numCache>
                <c:formatCode>General</c:formatCode>
                <c:ptCount val="8"/>
                <c:pt idx="0">
                  <c:v>2174</c:v>
                </c:pt>
                <c:pt idx="1">
                  <c:v>2171</c:v>
                </c:pt>
                <c:pt idx="2">
                  <c:v>2173</c:v>
                </c:pt>
                <c:pt idx="3">
                  <c:v>2171</c:v>
                </c:pt>
                <c:pt idx="4">
                  <c:v>2329</c:v>
                </c:pt>
                <c:pt idx="5">
                  <c:v>2332</c:v>
                </c:pt>
                <c:pt idx="6">
                  <c:v>2330</c:v>
                </c:pt>
                <c:pt idx="7">
                  <c:v>2335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18-43B6-9ACC-1AE7C8D026E0}"/>
            </c:ext>
          </c:extLst>
        </c:ser>
        <c:ser>
          <c:idx val="3"/>
          <c:order val="3"/>
          <c:tx>
            <c:strRef>
              <c:f>CAPACITIVE!$E$21</c:f>
              <c:strCache>
                <c:ptCount val="1"/>
                <c:pt idx="0">
                  <c:v>WATER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CAPACITIVE!$E$22:$E$29</c:f>
              <c:numCache>
                <c:formatCode>General</c:formatCode>
                <c:ptCount val="8"/>
                <c:pt idx="0">
                  <c:v>1518</c:v>
                </c:pt>
                <c:pt idx="1">
                  <c:v>1519</c:v>
                </c:pt>
                <c:pt idx="2">
                  <c:v>1520</c:v>
                </c:pt>
                <c:pt idx="3">
                  <c:v>1522</c:v>
                </c:pt>
                <c:pt idx="4">
                  <c:v>1518</c:v>
                </c:pt>
                <c:pt idx="5">
                  <c:v>1520</c:v>
                </c:pt>
                <c:pt idx="6">
                  <c:v>1511</c:v>
                </c:pt>
                <c:pt idx="7">
                  <c:v>1488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18-43B6-9ACC-1AE7C8D02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0954832"/>
        <c:axId val="426270208"/>
      </c:lineChart>
      <c:catAx>
        <c:axId val="430954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426270208"/>
        <c:crosses val="autoZero"/>
        <c:auto val="1"/>
        <c:lblAlgn val="ctr"/>
        <c:lblOffset val="100"/>
        <c:noMultiLvlLbl val="0"/>
      </c:catAx>
      <c:valAx>
        <c:axId val="42627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43095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91440</xdr:colOff>
      <xdr:row>2</xdr:row>
      <xdr:rowOff>72390</xdr:rowOff>
    </xdr:from>
    <xdr:to>
      <xdr:col>13</xdr:col>
      <xdr:colOff>396240</xdr:colOff>
      <xdr:row>17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142CA7-F8EE-5ED0-06FC-64720CFAD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548640</xdr:colOff>
      <xdr:row>19</xdr:row>
      <xdr:rowOff>156210</xdr:rowOff>
    </xdr:from>
    <xdr:to>
      <xdr:col>13</xdr:col>
      <xdr:colOff>243840</xdr:colOff>
      <xdr:row>34</xdr:row>
      <xdr:rowOff>156210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AC0DD2-25BB-BFD7-B3B9-E40D15DEC4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91440</xdr:colOff>
      <xdr:row>2</xdr:row>
      <xdr:rowOff>72390</xdr:rowOff>
    </xdr:from>
    <xdr:to>
      <xdr:col>13</xdr:col>
      <xdr:colOff>396240</xdr:colOff>
      <xdr:row>17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014735-98AD-4660-84E7-E65F901768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91440</xdr:colOff>
      <xdr:row>19</xdr:row>
      <xdr:rowOff>133350</xdr:rowOff>
    </xdr:from>
    <xdr:to>
      <xdr:col>13</xdr:col>
      <xdr:colOff>396240</xdr:colOff>
      <xdr:row>34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863997-220F-7296-1AF7-39459C4AA9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5A554-0517-4911-A045-3CEFFC83F4E2}">
  <dimension ref="A2:M44"/>
  <sheetViews>
    <sheetView topLeftCell="A20" workbookViewId="0">
      <selection activeCell="D44" sqref="D44"/>
    </sheetView>
  </sheetViews>
  <sheetFormatPr defaultRowHeight="14.4" x14ac:dyDescent="0.3"/>
  <cols>
    <col min="1" max="1" width="19.6640625" bestFit="1" customWidth="1"/>
    <col min="2" max="3" width="9" bestFit="1" customWidth="1"/>
    <col min="4" max="5" width="9.5546875" bestFit="1" customWidth="1"/>
  </cols>
  <sheetData>
    <row r="2" spans="2:4" x14ac:dyDescent="0.3">
      <c r="B2" t="s">
        <v>3</v>
      </c>
    </row>
    <row r="4" spans="2:4" x14ac:dyDescent="0.3">
      <c r="B4" t="s">
        <v>0</v>
      </c>
      <c r="C4">
        <v>0</v>
      </c>
      <c r="D4">
        <v>300</v>
      </c>
    </row>
    <row r="5" spans="2:4" x14ac:dyDescent="0.3">
      <c r="B5" t="s">
        <v>1</v>
      </c>
      <c r="C5">
        <v>301</v>
      </c>
      <c r="D5">
        <v>700</v>
      </c>
    </row>
    <row r="6" spans="2:4" x14ac:dyDescent="0.3">
      <c r="B6" t="s">
        <v>2</v>
      </c>
      <c r="C6">
        <v>701</v>
      </c>
      <c r="D6">
        <v>750</v>
      </c>
    </row>
    <row r="19" spans="2:13" x14ac:dyDescent="0.3">
      <c r="B19" s="1" t="s">
        <v>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1" spans="2:13" x14ac:dyDescent="0.3">
      <c r="B21" t="s">
        <v>0</v>
      </c>
      <c r="C21" t="s">
        <v>1</v>
      </c>
      <c r="D21" t="s">
        <v>2</v>
      </c>
      <c r="E21" t="s">
        <v>5</v>
      </c>
    </row>
    <row r="22" spans="2:13" x14ac:dyDescent="0.3">
      <c r="B22">
        <v>0</v>
      </c>
      <c r="C22">
        <v>700</v>
      </c>
      <c r="D22">
        <v>1555</v>
      </c>
      <c r="E22">
        <v>2606</v>
      </c>
    </row>
    <row r="23" spans="2:13" x14ac:dyDescent="0.3">
      <c r="B23">
        <v>0</v>
      </c>
      <c r="C23">
        <v>1167</v>
      </c>
      <c r="D23">
        <v>1520</v>
      </c>
      <c r="E23">
        <v>2604</v>
      </c>
    </row>
    <row r="24" spans="2:13" x14ac:dyDescent="0.3">
      <c r="B24">
        <v>0</v>
      </c>
      <c r="C24">
        <v>853</v>
      </c>
      <c r="D24">
        <v>1584</v>
      </c>
      <c r="E24">
        <v>2630</v>
      </c>
    </row>
    <row r="25" spans="2:13" x14ac:dyDescent="0.3">
      <c r="B25">
        <v>0</v>
      </c>
      <c r="C25">
        <v>1166</v>
      </c>
      <c r="D25">
        <v>1663</v>
      </c>
      <c r="E25">
        <v>2583</v>
      </c>
    </row>
    <row r="26" spans="2:13" x14ac:dyDescent="0.3">
      <c r="B26">
        <v>0</v>
      </c>
      <c r="C26">
        <v>840</v>
      </c>
      <c r="D26">
        <v>1645</v>
      </c>
      <c r="E26">
        <v>2599</v>
      </c>
    </row>
    <row r="27" spans="2:13" x14ac:dyDescent="0.3">
      <c r="B27">
        <v>0</v>
      </c>
      <c r="C27">
        <v>1430</v>
      </c>
      <c r="D27">
        <v>1611</v>
      </c>
      <c r="E27">
        <v>2613</v>
      </c>
    </row>
    <row r="28" spans="2:13" x14ac:dyDescent="0.3">
      <c r="B28">
        <v>0</v>
      </c>
      <c r="C28">
        <v>1251</v>
      </c>
      <c r="D28">
        <v>1765</v>
      </c>
      <c r="E28">
        <v>2556</v>
      </c>
    </row>
    <row r="29" spans="2:13" x14ac:dyDescent="0.3">
      <c r="B29">
        <v>0</v>
      </c>
      <c r="C29">
        <v>344</v>
      </c>
      <c r="D29">
        <v>1713</v>
      </c>
      <c r="E29">
        <v>2607</v>
      </c>
    </row>
    <row r="30" spans="2:13" x14ac:dyDescent="0.3">
      <c r="B30">
        <v>0</v>
      </c>
      <c r="C30">
        <v>658</v>
      </c>
      <c r="D30">
        <v>1795</v>
      </c>
      <c r="E30">
        <v>2541</v>
      </c>
    </row>
    <row r="31" spans="2:13" x14ac:dyDescent="0.3">
      <c r="B31">
        <v>0</v>
      </c>
      <c r="C31">
        <v>303</v>
      </c>
      <c r="D31">
        <v>1920</v>
      </c>
      <c r="E31">
        <v>2416</v>
      </c>
    </row>
    <row r="32" spans="2:13" x14ac:dyDescent="0.3">
      <c r="B32">
        <v>0</v>
      </c>
      <c r="C32">
        <v>336</v>
      </c>
      <c r="D32">
        <v>2097</v>
      </c>
      <c r="E32">
        <v>2404</v>
      </c>
    </row>
    <row r="33" spans="1:5" x14ac:dyDescent="0.3">
      <c r="B33">
        <v>0</v>
      </c>
      <c r="C33">
        <v>416</v>
      </c>
      <c r="D33">
        <v>2068</v>
      </c>
      <c r="E33">
        <v>2368</v>
      </c>
    </row>
    <row r="34" spans="1:5" x14ac:dyDescent="0.3">
      <c r="B34">
        <v>0</v>
      </c>
      <c r="C34">
        <v>602</v>
      </c>
      <c r="D34">
        <v>2135</v>
      </c>
      <c r="E34">
        <v>2437</v>
      </c>
    </row>
    <row r="35" spans="1:5" x14ac:dyDescent="0.3">
      <c r="A35" t="s">
        <v>6</v>
      </c>
      <c r="B35">
        <f>MIN(B22:B34)</f>
        <v>0</v>
      </c>
      <c r="C35">
        <f t="shared" ref="C35:E35" si="0">MIN(C22:C34)</f>
        <v>303</v>
      </c>
      <c r="D35">
        <f t="shared" si="0"/>
        <v>1520</v>
      </c>
      <c r="E35">
        <f t="shared" si="0"/>
        <v>2368</v>
      </c>
    </row>
    <row r="36" spans="1:5" x14ac:dyDescent="0.3">
      <c r="A36" t="s">
        <v>7</v>
      </c>
      <c r="B36">
        <f>MAX(B22:B35)</f>
        <v>0</v>
      </c>
      <c r="C36">
        <f t="shared" ref="C36:E36" si="1">MAX(C22:C35)</f>
        <v>1430</v>
      </c>
      <c r="D36">
        <f t="shared" si="1"/>
        <v>2135</v>
      </c>
      <c r="E36">
        <f t="shared" si="1"/>
        <v>2630</v>
      </c>
    </row>
    <row r="37" spans="1:5" x14ac:dyDescent="0.3">
      <c r="A37" t="s">
        <v>8</v>
      </c>
      <c r="B37" s="2">
        <f>AVERAGE(B22:B34)</f>
        <v>0</v>
      </c>
      <c r="C37" s="2">
        <f t="shared" ref="C37:E37" si="2">AVERAGE(C22:C34)</f>
        <v>774.30769230769226</v>
      </c>
      <c r="D37" s="2">
        <f t="shared" si="2"/>
        <v>1774.6923076923076</v>
      </c>
      <c r="E37" s="2">
        <f t="shared" si="2"/>
        <v>2535.6923076923076</v>
      </c>
    </row>
    <row r="39" spans="1:5" x14ac:dyDescent="0.3">
      <c r="A39" t="s">
        <v>13</v>
      </c>
      <c r="B39">
        <f>C35-B35</f>
        <v>303</v>
      </c>
      <c r="C39">
        <f>D35-C36</f>
        <v>90</v>
      </c>
      <c r="D39">
        <f>E35-D36</f>
        <v>233</v>
      </c>
    </row>
    <row r="40" spans="1:5" x14ac:dyDescent="0.3">
      <c r="A40" t="s">
        <v>9</v>
      </c>
      <c r="B40" s="2">
        <f>B39/2</f>
        <v>151.5</v>
      </c>
      <c r="C40">
        <f>C39/2</f>
        <v>45</v>
      </c>
      <c r="D40">
        <f>D39/2</f>
        <v>116.5</v>
      </c>
    </row>
    <row r="41" spans="1:5" x14ac:dyDescent="0.3">
      <c r="A41" t="s">
        <v>7</v>
      </c>
      <c r="B41" s="2">
        <f>B35+B40</f>
        <v>151.5</v>
      </c>
      <c r="C41">
        <f>C36+C40</f>
        <v>1475</v>
      </c>
      <c r="D41">
        <f>D36+D40</f>
        <v>2251.5</v>
      </c>
    </row>
    <row r="42" spans="1:5" x14ac:dyDescent="0.3">
      <c r="B42" s="2"/>
    </row>
    <row r="43" spans="1:5" x14ac:dyDescent="0.3">
      <c r="A43" t="s">
        <v>11</v>
      </c>
      <c r="B43" s="2">
        <f>B41</f>
        <v>151.5</v>
      </c>
      <c r="C43">
        <f>C41</f>
        <v>1475</v>
      </c>
      <c r="D43">
        <f>E36</f>
        <v>2630</v>
      </c>
    </row>
    <row r="44" spans="1:5" x14ac:dyDescent="0.3">
      <c r="A44" t="s">
        <v>12</v>
      </c>
      <c r="B44" s="2">
        <f>B35</f>
        <v>0</v>
      </c>
      <c r="C44" s="2">
        <f>B41+1</f>
        <v>152.5</v>
      </c>
      <c r="D44">
        <f>C41+1</f>
        <v>1476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19C2A-E430-45E1-8ECD-6CB11A0B4C3D}">
  <dimension ref="A2:M38"/>
  <sheetViews>
    <sheetView tabSelected="1" topLeftCell="A15" workbookViewId="0">
      <selection activeCell="E38" sqref="E38"/>
    </sheetView>
  </sheetViews>
  <sheetFormatPr defaultRowHeight="14.4" x14ac:dyDescent="0.3"/>
  <cols>
    <col min="1" max="1" width="23.88671875" customWidth="1"/>
  </cols>
  <sheetData>
    <row r="2" spans="2:4" x14ac:dyDescent="0.3">
      <c r="B2" t="s">
        <v>3</v>
      </c>
    </row>
    <row r="4" spans="2:4" x14ac:dyDescent="0.3">
      <c r="B4" t="s">
        <v>0</v>
      </c>
      <c r="C4">
        <v>0</v>
      </c>
      <c r="D4">
        <v>300</v>
      </c>
    </row>
    <row r="5" spans="2:4" x14ac:dyDescent="0.3">
      <c r="B5" t="s">
        <v>1</v>
      </c>
      <c r="C5">
        <v>301</v>
      </c>
      <c r="D5">
        <v>700</v>
      </c>
    </row>
    <row r="6" spans="2:4" x14ac:dyDescent="0.3">
      <c r="B6" t="s">
        <v>2</v>
      </c>
      <c r="C6">
        <v>701</v>
      </c>
      <c r="D6">
        <v>750</v>
      </c>
    </row>
    <row r="19" spans="1:13" x14ac:dyDescent="0.3">
      <c r="B19" s="1" t="s">
        <v>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1" spans="1:13" x14ac:dyDescent="0.3">
      <c r="B21" t="s">
        <v>0</v>
      </c>
      <c r="C21" t="s">
        <v>1</v>
      </c>
      <c r="D21" t="s">
        <v>2</v>
      </c>
      <c r="E21" t="s">
        <v>5</v>
      </c>
    </row>
    <row r="22" spans="1:13" x14ac:dyDescent="0.3">
      <c r="B22">
        <v>2939</v>
      </c>
      <c r="C22">
        <v>2437</v>
      </c>
      <c r="D22">
        <v>2174</v>
      </c>
      <c r="E22">
        <v>1518</v>
      </c>
    </row>
    <row r="23" spans="1:13" x14ac:dyDescent="0.3">
      <c r="B23">
        <v>2941</v>
      </c>
      <c r="C23">
        <v>2433</v>
      </c>
      <c r="D23">
        <v>2171</v>
      </c>
      <c r="E23">
        <v>1519</v>
      </c>
    </row>
    <row r="24" spans="1:13" x14ac:dyDescent="0.3">
      <c r="B24">
        <v>2945</v>
      </c>
      <c r="C24">
        <v>2419</v>
      </c>
      <c r="D24">
        <v>2173</v>
      </c>
      <c r="E24">
        <v>1520</v>
      </c>
    </row>
    <row r="25" spans="1:13" x14ac:dyDescent="0.3">
      <c r="B25">
        <v>2942</v>
      </c>
      <c r="C25">
        <v>2533</v>
      </c>
      <c r="D25">
        <v>2171</v>
      </c>
      <c r="E25">
        <v>1522</v>
      </c>
    </row>
    <row r="26" spans="1:13" x14ac:dyDescent="0.3">
      <c r="B26">
        <v>2945</v>
      </c>
      <c r="C26">
        <v>2672</v>
      </c>
      <c r="D26">
        <v>2329</v>
      </c>
      <c r="E26">
        <v>1518</v>
      </c>
    </row>
    <row r="27" spans="1:13" x14ac:dyDescent="0.3">
      <c r="B27">
        <v>2938</v>
      </c>
      <c r="C27">
        <v>2549</v>
      </c>
      <c r="D27">
        <v>2332</v>
      </c>
      <c r="E27">
        <v>1520</v>
      </c>
    </row>
    <row r="28" spans="1:13" x14ac:dyDescent="0.3">
      <c r="B28">
        <v>2945</v>
      </c>
      <c r="C28">
        <v>2707</v>
      </c>
      <c r="D28">
        <v>2330</v>
      </c>
      <c r="E28">
        <v>1511</v>
      </c>
    </row>
    <row r="29" spans="1:13" x14ac:dyDescent="0.3">
      <c r="B29">
        <v>2947</v>
      </c>
      <c r="C29">
        <v>2704</v>
      </c>
      <c r="D29">
        <v>2335</v>
      </c>
      <c r="E29">
        <v>1488</v>
      </c>
    </row>
    <row r="30" spans="1:13" x14ac:dyDescent="0.3">
      <c r="A30" t="s">
        <v>6</v>
      </c>
      <c r="B30">
        <f>MIN(B22:B29)</f>
        <v>2938</v>
      </c>
      <c r="C30">
        <f t="shared" ref="C30:E30" si="0">MIN(C22:C29)</f>
        <v>2419</v>
      </c>
      <c r="D30">
        <f t="shared" si="0"/>
        <v>2171</v>
      </c>
      <c r="E30">
        <f t="shared" si="0"/>
        <v>1488</v>
      </c>
    </row>
    <row r="31" spans="1:13" x14ac:dyDescent="0.3">
      <c r="A31" t="s">
        <v>7</v>
      </c>
      <c r="B31">
        <f>MAX(B22:B30)</f>
        <v>2947</v>
      </c>
      <c r="C31">
        <f t="shared" ref="C31:E31" si="1">MAX(C22:C30)</f>
        <v>2707</v>
      </c>
      <c r="D31">
        <f t="shared" si="1"/>
        <v>2335</v>
      </c>
      <c r="E31">
        <f t="shared" si="1"/>
        <v>1522</v>
      </c>
    </row>
    <row r="32" spans="1:13" x14ac:dyDescent="0.3">
      <c r="B32" s="2"/>
      <c r="C32" s="2"/>
      <c r="D32" s="2"/>
      <c r="E32" s="2"/>
    </row>
    <row r="33" spans="1:4" x14ac:dyDescent="0.3">
      <c r="A33" t="s">
        <v>13</v>
      </c>
      <c r="B33">
        <f>B30-C31</f>
        <v>231</v>
      </c>
      <c r="C33">
        <f>C30-D31</f>
        <v>84</v>
      </c>
      <c r="D33">
        <f t="shared" ref="C33:D33" si="2">D30-E31</f>
        <v>649</v>
      </c>
    </row>
    <row r="34" spans="1:4" x14ac:dyDescent="0.3">
      <c r="A34" t="s">
        <v>9</v>
      </c>
      <c r="B34">
        <f>B33/2</f>
        <v>115.5</v>
      </c>
      <c r="C34">
        <f>C33/2</f>
        <v>42</v>
      </c>
      <c r="D34">
        <f>D33/2</f>
        <v>324.5</v>
      </c>
    </row>
    <row r="35" spans="1:4" x14ac:dyDescent="0.3">
      <c r="A35" t="s">
        <v>10</v>
      </c>
      <c r="B35">
        <f>B30-B34</f>
        <v>2822.5</v>
      </c>
      <c r="C35">
        <f>C30-C34</f>
        <v>2377</v>
      </c>
      <c r="D35">
        <f>D30-D34</f>
        <v>1846.5</v>
      </c>
    </row>
    <row r="37" spans="1:4" x14ac:dyDescent="0.3">
      <c r="A37" t="s">
        <v>11</v>
      </c>
      <c r="B37">
        <f>B31</f>
        <v>2947</v>
      </c>
      <c r="C37" s="2">
        <f>C31+B34-1</f>
        <v>2821.5</v>
      </c>
      <c r="D37" s="2">
        <f>D31+C34-1</f>
        <v>2376</v>
      </c>
    </row>
    <row r="38" spans="1:4" x14ac:dyDescent="0.3">
      <c r="A38" t="s">
        <v>12</v>
      </c>
      <c r="B38" s="2">
        <f>B35</f>
        <v>2822.5</v>
      </c>
      <c r="C38" s="2">
        <f>C35</f>
        <v>2377</v>
      </c>
      <c r="D38" s="2">
        <f>E30</f>
        <v>1488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RESISTIVE</vt:lpstr>
      <vt:lpstr>CAPACITIVE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Kaethoven Michael</dc:creator>
  <cp:lastModifiedBy>Kaethoven Michael</cp:lastModifiedBy>
  <dcterms:created xsi:type="dcterms:W3CDTF">2026-02-25T13:18:30Z</dcterms:created>
  <dcterms:modified xsi:type="dcterms:W3CDTF">2026-02-25T15:25:17Z</dcterms:modified>
</cp:coreProperties>
</file>